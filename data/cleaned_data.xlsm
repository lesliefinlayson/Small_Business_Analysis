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slie\Final_project\data\"/>
    </mc:Choice>
  </mc:AlternateContent>
  <xr:revisionPtr revIDLastSave="0" documentId="13_ncr:1_{2E735A01-03B3-4853-8000-C3D7D09D6DAA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cleaned_data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0" i="1" l="1"/>
</calcChain>
</file>

<file path=xl/sharedStrings.xml><?xml version="1.0" encoding="utf-8"?>
<sst xmlns="http://schemas.openxmlformats.org/spreadsheetml/2006/main" count="155" uniqueCount="75">
  <si>
    <t>Job</t>
  </si>
  <si>
    <t>Location</t>
  </si>
  <si>
    <t>Customer</t>
  </si>
  <si>
    <t>Start_Date</t>
  </si>
  <si>
    <t>End_Date</t>
  </si>
  <si>
    <t>Time_Months</t>
  </si>
  <si>
    <t>Scope</t>
  </si>
  <si>
    <t>Materials_Estimate</t>
  </si>
  <si>
    <t>Materials_Actual_Cost</t>
  </si>
  <si>
    <t>Labor_Estimate</t>
  </si>
  <si>
    <t>Actual_Labor_Costs</t>
  </si>
  <si>
    <t>Estimated_Total_Cost</t>
  </si>
  <si>
    <t>Actual_Total_Cost</t>
  </si>
  <si>
    <t>Gain_or_Loss</t>
  </si>
  <si>
    <t>Gain</t>
  </si>
  <si>
    <t>Almar</t>
  </si>
  <si>
    <t>Santa Cruz</t>
  </si>
  <si>
    <t>Fitzgerald</t>
  </si>
  <si>
    <t>remodel (multiple)</t>
  </si>
  <si>
    <t>no</t>
  </si>
  <si>
    <t>Almar2</t>
  </si>
  <si>
    <t>fence</t>
  </si>
  <si>
    <t>Aloha</t>
  </si>
  <si>
    <t>Scotts Valley</t>
  </si>
  <si>
    <t>Donald</t>
  </si>
  <si>
    <t>landscaping</t>
  </si>
  <si>
    <t>yes</t>
  </si>
  <si>
    <t>Aptos</t>
  </si>
  <si>
    <t>Haines</t>
  </si>
  <si>
    <t>Beam</t>
  </si>
  <si>
    <t>Bean Creek</t>
  </si>
  <si>
    <t>Judy Etherington</t>
  </si>
  <si>
    <t xml:space="preserve">kitchen </t>
  </si>
  <si>
    <t>Capitola</t>
  </si>
  <si>
    <t>Smith</t>
  </si>
  <si>
    <t>Cawley</t>
  </si>
  <si>
    <t>Chico</t>
  </si>
  <si>
    <t>Palochak</t>
  </si>
  <si>
    <t>bathroom</t>
  </si>
  <si>
    <t>Chico2</t>
  </si>
  <si>
    <t>Dakasha</t>
  </si>
  <si>
    <t>Dave Daksha</t>
  </si>
  <si>
    <t>Deannes</t>
  </si>
  <si>
    <t>Gregory</t>
  </si>
  <si>
    <t>Erba</t>
  </si>
  <si>
    <t>Kendra</t>
  </si>
  <si>
    <t>Hall</t>
  </si>
  <si>
    <t>Jeff Hall</t>
  </si>
  <si>
    <t>Hector2</t>
  </si>
  <si>
    <t>Felton</t>
  </si>
  <si>
    <t>Sarah Hector</t>
  </si>
  <si>
    <t>Huntington</t>
  </si>
  <si>
    <t>Kennedy</t>
  </si>
  <si>
    <t>kitchen</t>
  </si>
  <si>
    <t>Mattison</t>
  </si>
  <si>
    <t>apton</t>
  </si>
  <si>
    <t>Niesen</t>
  </si>
  <si>
    <t xml:space="preserve">bathroom </t>
  </si>
  <si>
    <t>Pepperwood</t>
  </si>
  <si>
    <t>Soquel</t>
  </si>
  <si>
    <t>Taylor</t>
  </si>
  <si>
    <t>Seascape</t>
  </si>
  <si>
    <t>Gianatasino</t>
  </si>
  <si>
    <t>Semple</t>
  </si>
  <si>
    <t>Souza</t>
  </si>
  <si>
    <t>Frank  Souza</t>
  </si>
  <si>
    <t>Summit</t>
  </si>
  <si>
    <t>Los Gatos</t>
  </si>
  <si>
    <t>Oesterreich</t>
  </si>
  <si>
    <t>Wagener</t>
  </si>
  <si>
    <t>Westcliff</t>
  </si>
  <si>
    <t>Nair</t>
  </si>
  <si>
    <t>Westcliff2</t>
  </si>
  <si>
    <t>Whispering Pines</t>
  </si>
  <si>
    <t>Leahy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</si>
</sst>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14" fontId="0" fillId="0" borderId="0" xfId="0" applyNumberFormat="1"/>
    <xf numFmtId="0" fontId="0" fillId="33" borderId="0" xfId="0" applyFill="1"/>
    <xf numFmtId="0" fontId="0" fillId="34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584200</xdr:colOff>
          <xdr:row>7</xdr:row>
          <xdr:rowOff>133350</xdr:rowOff>
        </xdr:from>
        <xdr:to>
          <xdr:col>18</xdr:col>
          <xdr:colOff>400050</xdr:colOff>
          <xdr:row>11</xdr:row>
          <xdr:rowOff>25400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satisfaction survey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</xdr:row>
          <xdr:rowOff>171450</xdr:rowOff>
        </xdr:from>
        <xdr:to>
          <xdr:col>18</xdr:col>
          <xdr:colOff>444500</xdr:colOff>
          <xdr:row>6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Were Estimates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High or Low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30"/>
  <sheetViews>
    <sheetView tabSelected="1" workbookViewId="0">
      <selection activeCell="R14" sqref="R14"/>
    </sheetView>
  </sheetViews>
  <sheetFormatPr defaultRowHeight="14.5" x14ac:dyDescent="0.35"/>
  <cols>
    <col min="1" max="1" width="15.1796875" bestFit="1" customWidth="1"/>
    <col min="2" max="2" width="11.08984375" bestFit="1" customWidth="1"/>
    <col min="3" max="3" width="14.81640625" bestFit="1" customWidth="1"/>
    <col min="4" max="5" width="10.453125" hidden="1" customWidth="1"/>
    <col min="6" max="6" width="12.36328125" hidden="1" customWidth="1"/>
    <col min="7" max="7" width="16.453125" bestFit="1" customWidth="1"/>
    <col min="8" max="8" width="17" hidden="1" customWidth="1"/>
    <col min="9" max="9" width="19.6328125" hidden="1" customWidth="1"/>
    <col min="10" max="10" width="13.81640625" hidden="1" customWidth="1"/>
    <col min="11" max="11" width="17.36328125" hidden="1" customWidth="1"/>
    <col min="12" max="12" width="19.08984375" bestFit="1" customWidth="1"/>
    <col min="13" max="13" width="15.90625" bestFit="1" customWidth="1"/>
    <col min="14" max="14" width="12" bestFit="1" customWidth="1"/>
    <col min="15" max="15" width="4.6328125" bestFit="1" customWidth="1"/>
  </cols>
  <sheetData>
    <row r="1" spans="1:1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</row>
    <row r="2" spans="1:15" x14ac:dyDescent="0.35">
      <c r="A2" t="s">
        <v>15</v>
      </c>
      <c r="B2" t="s">
        <v>16</v>
      </c>
      <c r="C2" t="s">
        <v>17</v>
      </c>
      <c r="D2" s="1">
        <v>42754</v>
      </c>
      <c r="E2" s="1">
        <v>42886</v>
      </c>
      <c r="F2">
        <v>4.4000000000000004</v>
      </c>
      <c r="G2" t="s">
        <v>18</v>
      </c>
      <c r="H2">
        <v>10000</v>
      </c>
      <c r="I2">
        <v>10701.34</v>
      </c>
      <c r="J2">
        <v>17000</v>
      </c>
      <c r="K2">
        <v>16710.3</v>
      </c>
      <c r="L2">
        <v>27000</v>
      </c>
      <c r="M2">
        <v>27411.64</v>
      </c>
      <c r="N2">
        <v>-411.64</v>
      </c>
      <c r="O2" s="2" t="s">
        <v>19</v>
      </c>
    </row>
    <row r="3" spans="1:15" x14ac:dyDescent="0.35">
      <c r="A3" t="s">
        <v>20</v>
      </c>
      <c r="B3" t="s">
        <v>16</v>
      </c>
      <c r="C3" t="s">
        <v>17</v>
      </c>
      <c r="D3" s="1">
        <v>43012</v>
      </c>
      <c r="E3" s="1">
        <v>43020</v>
      </c>
      <c r="F3">
        <v>0.27</v>
      </c>
      <c r="G3" t="s">
        <v>21</v>
      </c>
      <c r="H3">
        <v>1500</v>
      </c>
      <c r="I3">
        <v>1493.67</v>
      </c>
      <c r="J3">
        <v>750</v>
      </c>
      <c r="K3">
        <v>961.85</v>
      </c>
      <c r="L3">
        <v>2250</v>
      </c>
      <c r="M3">
        <v>2455.52</v>
      </c>
      <c r="N3">
        <v>-205.52</v>
      </c>
      <c r="O3" s="2" t="s">
        <v>19</v>
      </c>
    </row>
    <row r="4" spans="1:15" x14ac:dyDescent="0.35">
      <c r="A4" t="s">
        <v>22</v>
      </c>
      <c r="B4" t="s">
        <v>23</v>
      </c>
      <c r="C4" t="s">
        <v>24</v>
      </c>
      <c r="D4" s="1">
        <v>42758</v>
      </c>
      <c r="E4" s="1">
        <v>42759</v>
      </c>
      <c r="F4">
        <v>0.03</v>
      </c>
      <c r="G4" t="s">
        <v>25</v>
      </c>
      <c r="H4">
        <v>1500</v>
      </c>
      <c r="I4">
        <v>1084.78</v>
      </c>
      <c r="J4">
        <v>4000</v>
      </c>
      <c r="K4">
        <v>4106.1750000000002</v>
      </c>
      <c r="L4">
        <v>5500</v>
      </c>
      <c r="M4">
        <v>5190.9549999999999</v>
      </c>
      <c r="N4">
        <v>309.04500000000002</v>
      </c>
      <c r="O4" s="3" t="s">
        <v>26</v>
      </c>
    </row>
    <row r="5" spans="1:15" x14ac:dyDescent="0.35">
      <c r="A5" t="s">
        <v>27</v>
      </c>
      <c r="B5" t="s">
        <v>27</v>
      </c>
      <c r="C5" t="s">
        <v>28</v>
      </c>
      <c r="D5" s="1">
        <v>43984</v>
      </c>
      <c r="E5" s="1">
        <v>44043</v>
      </c>
      <c r="F5">
        <v>1.97</v>
      </c>
      <c r="G5" t="s">
        <v>18</v>
      </c>
      <c r="H5">
        <v>8000</v>
      </c>
      <c r="I5">
        <v>8606.32</v>
      </c>
      <c r="J5">
        <v>15000</v>
      </c>
      <c r="K5">
        <v>14372.35</v>
      </c>
      <c r="L5">
        <v>23000</v>
      </c>
      <c r="M5">
        <v>22978.67</v>
      </c>
      <c r="N5">
        <v>21.33</v>
      </c>
      <c r="O5" s="3" t="s">
        <v>26</v>
      </c>
    </row>
    <row r="6" spans="1:15" x14ac:dyDescent="0.35">
      <c r="A6" t="s">
        <v>29</v>
      </c>
      <c r="B6" t="s">
        <v>23</v>
      </c>
      <c r="C6" t="s">
        <v>29</v>
      </c>
      <c r="D6" s="1">
        <v>43061</v>
      </c>
      <c r="E6" s="1">
        <v>43089</v>
      </c>
      <c r="F6">
        <v>0.93</v>
      </c>
      <c r="G6" t="s">
        <v>25</v>
      </c>
      <c r="H6">
        <v>400</v>
      </c>
      <c r="I6">
        <v>358.58</v>
      </c>
      <c r="J6">
        <v>2500</v>
      </c>
      <c r="K6">
        <v>2422.6</v>
      </c>
      <c r="L6">
        <v>2900</v>
      </c>
      <c r="M6">
        <v>2781.18</v>
      </c>
      <c r="N6">
        <v>118.82</v>
      </c>
      <c r="O6" s="3" t="s">
        <v>26</v>
      </c>
    </row>
    <row r="7" spans="1:15" x14ac:dyDescent="0.35">
      <c r="A7" t="s">
        <v>30</v>
      </c>
      <c r="B7" t="s">
        <v>23</v>
      </c>
      <c r="C7" t="s">
        <v>31</v>
      </c>
      <c r="D7" s="1">
        <v>43019</v>
      </c>
      <c r="E7" s="1">
        <v>43082</v>
      </c>
      <c r="F7">
        <v>2.1</v>
      </c>
      <c r="G7" t="s">
        <v>32</v>
      </c>
      <c r="H7">
        <v>700</v>
      </c>
      <c r="I7">
        <v>769.99</v>
      </c>
      <c r="J7">
        <v>5000</v>
      </c>
      <c r="K7">
        <v>4292</v>
      </c>
      <c r="L7">
        <v>5700</v>
      </c>
      <c r="M7">
        <v>5061.99</v>
      </c>
      <c r="N7">
        <v>638.01</v>
      </c>
      <c r="O7" s="3" t="s">
        <v>26</v>
      </c>
    </row>
    <row r="8" spans="1:15" x14ac:dyDescent="0.35">
      <c r="A8" t="s">
        <v>33</v>
      </c>
      <c r="B8" t="s">
        <v>33</v>
      </c>
      <c r="C8" t="s">
        <v>34</v>
      </c>
      <c r="D8" s="1">
        <v>43902</v>
      </c>
      <c r="E8" s="1">
        <v>43944</v>
      </c>
      <c r="F8">
        <v>1.4</v>
      </c>
      <c r="G8" t="s">
        <v>18</v>
      </c>
      <c r="H8">
        <v>22000</v>
      </c>
      <c r="I8">
        <v>24471.360000000001</v>
      </c>
      <c r="J8">
        <v>15000</v>
      </c>
      <c r="K8">
        <v>13803.825000000001</v>
      </c>
      <c r="L8">
        <v>37000</v>
      </c>
      <c r="M8">
        <v>38275.184999999998</v>
      </c>
      <c r="N8">
        <v>-1275.1849999999999</v>
      </c>
      <c r="O8" s="2" t="s">
        <v>19</v>
      </c>
    </row>
    <row r="9" spans="1:15" x14ac:dyDescent="0.35">
      <c r="A9" t="s">
        <v>35</v>
      </c>
      <c r="B9" t="s">
        <v>23</v>
      </c>
      <c r="C9" t="s">
        <v>35</v>
      </c>
      <c r="D9" s="1">
        <v>43602</v>
      </c>
      <c r="E9" s="1">
        <v>43721</v>
      </c>
      <c r="F9">
        <v>3.97</v>
      </c>
      <c r="G9" t="s">
        <v>18</v>
      </c>
      <c r="H9">
        <v>7500</v>
      </c>
      <c r="I9">
        <v>8192.08</v>
      </c>
      <c r="J9">
        <v>15000</v>
      </c>
      <c r="K9">
        <v>15138.35</v>
      </c>
      <c r="L9">
        <v>22500</v>
      </c>
      <c r="M9">
        <v>23330.43</v>
      </c>
      <c r="N9">
        <v>-830.43</v>
      </c>
      <c r="O9" s="2" t="s">
        <v>19</v>
      </c>
    </row>
    <row r="10" spans="1:15" x14ac:dyDescent="0.35">
      <c r="A10" t="s">
        <v>36</v>
      </c>
      <c r="B10" t="s">
        <v>16</v>
      </c>
      <c r="C10" t="s">
        <v>37</v>
      </c>
      <c r="D10" s="1">
        <v>44123</v>
      </c>
      <c r="E10" s="1">
        <v>44210</v>
      </c>
      <c r="F10">
        <v>2.9</v>
      </c>
      <c r="G10" t="s">
        <v>38</v>
      </c>
      <c r="H10">
        <v>3500</v>
      </c>
      <c r="I10">
        <v>3346.28</v>
      </c>
      <c r="J10">
        <v>5000</v>
      </c>
      <c r="K10">
        <v>5105.5249999999996</v>
      </c>
      <c r="L10">
        <v>8500</v>
      </c>
      <c r="M10">
        <v>8451.8050000000003</v>
      </c>
      <c r="N10">
        <v>48.195</v>
      </c>
      <c r="O10" s="3" t="s">
        <v>26</v>
      </c>
    </row>
    <row r="11" spans="1:15" x14ac:dyDescent="0.35">
      <c r="A11" t="s">
        <v>39</v>
      </c>
      <c r="B11" t="s">
        <v>16</v>
      </c>
      <c r="C11" t="s">
        <v>37</v>
      </c>
      <c r="D11" s="1">
        <v>44365</v>
      </c>
      <c r="E11" s="1">
        <v>44466</v>
      </c>
      <c r="F11">
        <v>3.37</v>
      </c>
      <c r="G11" t="s">
        <v>18</v>
      </c>
      <c r="H11">
        <v>25000</v>
      </c>
      <c r="I11">
        <v>26823.87</v>
      </c>
      <c r="J11">
        <v>25000</v>
      </c>
      <c r="K11">
        <v>26974.45</v>
      </c>
      <c r="L11">
        <v>50000</v>
      </c>
      <c r="M11">
        <v>53798.32</v>
      </c>
      <c r="N11">
        <v>-3798.32</v>
      </c>
      <c r="O11" s="2" t="s">
        <v>19</v>
      </c>
    </row>
    <row r="12" spans="1:15" x14ac:dyDescent="0.35">
      <c r="A12" t="s">
        <v>40</v>
      </c>
      <c r="B12" t="s">
        <v>27</v>
      </c>
      <c r="C12" t="s">
        <v>41</v>
      </c>
      <c r="D12" s="1">
        <v>43395</v>
      </c>
      <c r="E12" s="1">
        <v>43496</v>
      </c>
      <c r="F12">
        <v>3.37</v>
      </c>
      <c r="G12" t="s">
        <v>18</v>
      </c>
      <c r="H12">
        <v>15000</v>
      </c>
      <c r="I12">
        <v>15415.47</v>
      </c>
      <c r="J12">
        <v>8000</v>
      </c>
      <c r="K12">
        <v>7481.85</v>
      </c>
      <c r="L12">
        <v>23000</v>
      </c>
      <c r="M12">
        <v>22897.32</v>
      </c>
      <c r="N12">
        <v>102.68</v>
      </c>
      <c r="O12" s="3" t="s">
        <v>26</v>
      </c>
    </row>
    <row r="13" spans="1:15" x14ac:dyDescent="0.35">
      <c r="A13" t="s">
        <v>42</v>
      </c>
      <c r="B13" t="s">
        <v>16</v>
      </c>
      <c r="C13" t="s">
        <v>43</v>
      </c>
      <c r="D13" s="1">
        <v>43115</v>
      </c>
      <c r="E13" s="1">
        <v>43173</v>
      </c>
      <c r="F13">
        <v>1.93</v>
      </c>
      <c r="G13" t="s">
        <v>38</v>
      </c>
      <c r="H13">
        <v>2500</v>
      </c>
      <c r="I13">
        <v>3574.92</v>
      </c>
      <c r="J13">
        <v>5000</v>
      </c>
      <c r="K13">
        <v>3231.875</v>
      </c>
      <c r="L13">
        <v>7500</v>
      </c>
      <c r="M13">
        <v>6806.7950000000001</v>
      </c>
      <c r="N13">
        <v>693.20500000000004</v>
      </c>
      <c r="O13" s="3" t="s">
        <v>26</v>
      </c>
    </row>
    <row r="14" spans="1:15" x14ac:dyDescent="0.35">
      <c r="A14" t="s">
        <v>44</v>
      </c>
      <c r="B14" t="s">
        <v>23</v>
      </c>
      <c r="C14" t="s">
        <v>45</v>
      </c>
      <c r="D14" s="1">
        <v>43033</v>
      </c>
      <c r="E14" s="1">
        <v>43139</v>
      </c>
      <c r="F14">
        <v>3.53</v>
      </c>
      <c r="G14" t="s">
        <v>18</v>
      </c>
      <c r="H14">
        <v>25000</v>
      </c>
      <c r="I14">
        <v>23320.58</v>
      </c>
      <c r="J14">
        <v>10000</v>
      </c>
      <c r="K14">
        <v>8232.5499999999993</v>
      </c>
      <c r="L14">
        <v>35000</v>
      </c>
      <c r="M14">
        <v>31553.13</v>
      </c>
      <c r="N14">
        <v>3446.87</v>
      </c>
      <c r="O14" s="3" t="s">
        <v>26</v>
      </c>
    </row>
    <row r="15" spans="1:15" x14ac:dyDescent="0.35">
      <c r="A15" t="s">
        <v>46</v>
      </c>
      <c r="B15" t="s">
        <v>16</v>
      </c>
      <c r="C15" t="s">
        <v>47</v>
      </c>
      <c r="D15" s="1">
        <v>42831</v>
      </c>
      <c r="E15" s="1">
        <v>43059</v>
      </c>
      <c r="F15">
        <v>7.6</v>
      </c>
      <c r="G15" t="s">
        <v>18</v>
      </c>
      <c r="H15">
        <v>60000</v>
      </c>
      <c r="I15">
        <v>63666.54</v>
      </c>
      <c r="J15">
        <v>7000</v>
      </c>
      <c r="K15">
        <v>7272.45</v>
      </c>
      <c r="L15">
        <v>67000</v>
      </c>
      <c r="M15">
        <v>70938.990000000005</v>
      </c>
      <c r="N15">
        <v>-3938.99</v>
      </c>
      <c r="O15" s="2" t="s">
        <v>19</v>
      </c>
    </row>
    <row r="16" spans="1:15" x14ac:dyDescent="0.35">
      <c r="A16" t="s">
        <v>48</v>
      </c>
      <c r="B16" t="s">
        <v>49</v>
      </c>
      <c r="C16" t="s">
        <v>50</v>
      </c>
      <c r="D16" s="1">
        <v>43305</v>
      </c>
      <c r="E16" s="1">
        <v>44457</v>
      </c>
      <c r="F16">
        <v>38.4</v>
      </c>
      <c r="G16" t="s">
        <v>18</v>
      </c>
      <c r="H16">
        <v>30000</v>
      </c>
      <c r="I16">
        <v>28417.9</v>
      </c>
      <c r="J16">
        <v>15000</v>
      </c>
      <c r="K16">
        <v>12745.5</v>
      </c>
      <c r="L16">
        <v>45000</v>
      </c>
      <c r="M16">
        <v>41163.4</v>
      </c>
      <c r="N16">
        <v>3836.6</v>
      </c>
      <c r="O16" s="3" t="s">
        <v>26</v>
      </c>
    </row>
    <row r="17" spans="1:15" x14ac:dyDescent="0.35">
      <c r="A17" t="s">
        <v>51</v>
      </c>
      <c r="B17" t="s">
        <v>27</v>
      </c>
      <c r="C17" t="s">
        <v>51</v>
      </c>
      <c r="D17" s="1">
        <v>43411</v>
      </c>
      <c r="E17" s="1">
        <v>43585</v>
      </c>
      <c r="F17">
        <v>5.8</v>
      </c>
      <c r="G17" t="s">
        <v>18</v>
      </c>
      <c r="H17">
        <v>10000</v>
      </c>
      <c r="I17">
        <v>12834.74</v>
      </c>
      <c r="J17">
        <v>6000</v>
      </c>
      <c r="K17">
        <v>6561.7</v>
      </c>
      <c r="L17">
        <v>16000</v>
      </c>
      <c r="M17">
        <v>19396.439999999999</v>
      </c>
      <c r="N17">
        <v>-3396.44</v>
      </c>
      <c r="O17" s="2" t="s">
        <v>19</v>
      </c>
    </row>
    <row r="18" spans="1:15" x14ac:dyDescent="0.35">
      <c r="A18" t="s">
        <v>52</v>
      </c>
      <c r="B18" t="s">
        <v>23</v>
      </c>
      <c r="C18" t="s">
        <v>52</v>
      </c>
      <c r="D18" s="1">
        <v>43158</v>
      </c>
      <c r="E18" s="1">
        <v>43279</v>
      </c>
      <c r="F18">
        <v>4.03</v>
      </c>
      <c r="G18" t="s">
        <v>53</v>
      </c>
      <c r="H18">
        <v>10000</v>
      </c>
      <c r="I18">
        <v>8422.66</v>
      </c>
      <c r="J18">
        <v>15000</v>
      </c>
      <c r="K18">
        <v>13871.7</v>
      </c>
      <c r="L18">
        <v>25000</v>
      </c>
      <c r="M18">
        <v>22294.36</v>
      </c>
      <c r="N18">
        <v>2705.64</v>
      </c>
      <c r="O18" s="3" t="s">
        <v>26</v>
      </c>
    </row>
    <row r="19" spans="1:15" x14ac:dyDescent="0.35">
      <c r="A19" t="s">
        <v>54</v>
      </c>
      <c r="B19" t="s">
        <v>55</v>
      </c>
      <c r="C19" t="s">
        <v>54</v>
      </c>
      <c r="D19" s="1">
        <v>43675</v>
      </c>
      <c r="E19" s="1">
        <v>44114</v>
      </c>
      <c r="F19">
        <v>14.63</v>
      </c>
      <c r="G19" t="s">
        <v>18</v>
      </c>
      <c r="H19">
        <v>52000</v>
      </c>
      <c r="I19">
        <v>53915.37</v>
      </c>
      <c r="J19">
        <v>62500</v>
      </c>
      <c r="K19">
        <v>64871.025000000001</v>
      </c>
      <c r="L19">
        <v>114500</v>
      </c>
      <c r="M19">
        <v>118786.395</v>
      </c>
      <c r="N19">
        <v>-4286.3950000000004</v>
      </c>
      <c r="O19" s="2" t="s">
        <v>19</v>
      </c>
    </row>
    <row r="20" spans="1:15" x14ac:dyDescent="0.35">
      <c r="A20" t="s">
        <v>56</v>
      </c>
      <c r="B20" t="s">
        <v>23</v>
      </c>
      <c r="C20" t="s">
        <v>56</v>
      </c>
      <c r="D20" s="1">
        <v>43066</v>
      </c>
      <c r="E20" s="1">
        <v>43125</v>
      </c>
      <c r="F20">
        <v>1.97</v>
      </c>
      <c r="G20" t="s">
        <v>57</v>
      </c>
      <c r="H20">
        <v>2000</v>
      </c>
      <c r="I20">
        <v>1194.22</v>
      </c>
      <c r="J20">
        <v>10000</v>
      </c>
      <c r="K20">
        <v>9018.4</v>
      </c>
      <c r="L20">
        <v>12000</v>
      </c>
      <c r="M20">
        <v>10212.620000000001</v>
      </c>
      <c r="N20">
        <v>1787.38</v>
      </c>
      <c r="O20" s="3" t="s">
        <v>26</v>
      </c>
    </row>
    <row r="21" spans="1:15" x14ac:dyDescent="0.35">
      <c r="A21" t="s">
        <v>58</v>
      </c>
      <c r="B21" t="s">
        <v>59</v>
      </c>
      <c r="C21" t="s">
        <v>60</v>
      </c>
      <c r="D21" s="1">
        <v>43670</v>
      </c>
      <c r="E21" s="1">
        <v>43713</v>
      </c>
      <c r="F21">
        <v>1.43</v>
      </c>
      <c r="G21" t="s">
        <v>53</v>
      </c>
      <c r="H21">
        <v>550</v>
      </c>
      <c r="I21">
        <v>497.24</v>
      </c>
      <c r="J21">
        <v>6000</v>
      </c>
      <c r="K21">
        <v>5449.8</v>
      </c>
      <c r="L21">
        <v>6550</v>
      </c>
      <c r="M21">
        <v>5947.04</v>
      </c>
      <c r="N21">
        <v>602.96</v>
      </c>
      <c r="O21" s="3" t="s">
        <v>26</v>
      </c>
    </row>
    <row r="22" spans="1:15" x14ac:dyDescent="0.35">
      <c r="A22" t="s">
        <v>61</v>
      </c>
      <c r="B22" t="s">
        <v>16</v>
      </c>
      <c r="C22" t="s">
        <v>62</v>
      </c>
      <c r="D22" s="1">
        <v>43686</v>
      </c>
      <c r="E22" s="1">
        <v>43718</v>
      </c>
      <c r="F22">
        <v>1.07</v>
      </c>
      <c r="G22" t="s">
        <v>53</v>
      </c>
      <c r="H22">
        <v>500</v>
      </c>
      <c r="I22">
        <v>507.69</v>
      </c>
      <c r="J22">
        <v>5000</v>
      </c>
      <c r="K22">
        <v>4690.05</v>
      </c>
      <c r="L22">
        <v>5500</v>
      </c>
      <c r="M22">
        <v>5197.74</v>
      </c>
      <c r="N22">
        <v>302.26</v>
      </c>
      <c r="O22" s="3" t="s">
        <v>26</v>
      </c>
    </row>
    <row r="23" spans="1:15" x14ac:dyDescent="0.35">
      <c r="A23" t="s">
        <v>63</v>
      </c>
      <c r="B23" t="s">
        <v>33</v>
      </c>
      <c r="C23" t="s">
        <v>63</v>
      </c>
      <c r="D23" s="1">
        <v>43643</v>
      </c>
      <c r="E23" s="1">
        <v>43738</v>
      </c>
      <c r="F23">
        <v>3.17</v>
      </c>
      <c r="G23" t="s">
        <v>38</v>
      </c>
      <c r="H23">
        <v>6000</v>
      </c>
      <c r="I23">
        <v>5799.34</v>
      </c>
      <c r="J23">
        <v>11500</v>
      </c>
      <c r="K23">
        <v>9645</v>
      </c>
      <c r="L23">
        <v>17500</v>
      </c>
      <c r="M23">
        <v>15444.34</v>
      </c>
      <c r="N23">
        <v>2055.66</v>
      </c>
      <c r="O23" s="3" t="s">
        <v>26</v>
      </c>
    </row>
    <row r="24" spans="1:15" x14ac:dyDescent="0.35">
      <c r="A24" t="s">
        <v>64</v>
      </c>
      <c r="B24" t="s">
        <v>23</v>
      </c>
      <c r="C24" t="s">
        <v>65</v>
      </c>
      <c r="D24" s="1">
        <v>42843</v>
      </c>
      <c r="E24" s="1">
        <v>43049</v>
      </c>
      <c r="F24">
        <v>6.87</v>
      </c>
      <c r="G24" t="s">
        <v>18</v>
      </c>
      <c r="H24">
        <v>73000</v>
      </c>
      <c r="I24">
        <v>75167.53</v>
      </c>
      <c r="J24">
        <v>65000</v>
      </c>
      <c r="K24">
        <v>62069.35</v>
      </c>
      <c r="L24">
        <v>138000</v>
      </c>
      <c r="M24">
        <v>137236.88</v>
      </c>
      <c r="N24">
        <v>763.12</v>
      </c>
      <c r="O24" s="3" t="s">
        <v>26</v>
      </c>
    </row>
    <row r="25" spans="1:15" x14ac:dyDescent="0.35">
      <c r="A25" t="s">
        <v>66</v>
      </c>
      <c r="B25" t="s">
        <v>67</v>
      </c>
      <c r="C25" t="s">
        <v>68</v>
      </c>
      <c r="D25" s="1">
        <v>44055</v>
      </c>
      <c r="E25" s="1">
        <v>44274</v>
      </c>
      <c r="F25">
        <v>7.3</v>
      </c>
      <c r="G25" t="s">
        <v>18</v>
      </c>
      <c r="H25">
        <v>24000</v>
      </c>
      <c r="I25">
        <v>23136.02</v>
      </c>
      <c r="J25">
        <v>12000</v>
      </c>
      <c r="K25">
        <v>12206.975</v>
      </c>
      <c r="L25">
        <v>36000</v>
      </c>
      <c r="M25">
        <v>35342.995000000003</v>
      </c>
      <c r="N25">
        <v>657.005</v>
      </c>
      <c r="O25" s="3" t="s">
        <v>26</v>
      </c>
    </row>
    <row r="26" spans="1:15" x14ac:dyDescent="0.35">
      <c r="A26" t="s">
        <v>69</v>
      </c>
      <c r="B26" t="s">
        <v>33</v>
      </c>
      <c r="C26" t="s">
        <v>69</v>
      </c>
      <c r="D26" s="1">
        <v>43174</v>
      </c>
      <c r="E26" s="1">
        <v>43343</v>
      </c>
      <c r="F26">
        <v>5.63</v>
      </c>
      <c r="G26" t="s">
        <v>18</v>
      </c>
      <c r="H26">
        <v>105000</v>
      </c>
      <c r="I26">
        <v>108491.17</v>
      </c>
      <c r="J26">
        <v>61000</v>
      </c>
      <c r="K26">
        <v>63511.4</v>
      </c>
      <c r="L26">
        <v>166000</v>
      </c>
      <c r="M26">
        <v>172002.57</v>
      </c>
      <c r="N26">
        <v>-6002.57</v>
      </c>
      <c r="O26" s="2" t="s">
        <v>19</v>
      </c>
    </row>
    <row r="27" spans="1:15" x14ac:dyDescent="0.35">
      <c r="A27" t="s">
        <v>70</v>
      </c>
      <c r="B27" t="s">
        <v>16</v>
      </c>
      <c r="C27" t="s">
        <v>71</v>
      </c>
      <c r="D27" s="1">
        <v>44011</v>
      </c>
      <c r="E27" s="1">
        <v>44104</v>
      </c>
      <c r="F27">
        <v>3.1</v>
      </c>
      <c r="G27" t="s">
        <v>38</v>
      </c>
      <c r="H27">
        <v>15000</v>
      </c>
      <c r="I27">
        <v>15496.63</v>
      </c>
      <c r="J27">
        <v>18000</v>
      </c>
      <c r="K27">
        <v>16987.400000000001</v>
      </c>
      <c r="L27">
        <v>33000</v>
      </c>
      <c r="M27">
        <v>32484.03</v>
      </c>
      <c r="N27">
        <v>515.97</v>
      </c>
      <c r="O27" s="3" t="s">
        <v>26</v>
      </c>
    </row>
    <row r="28" spans="1:15" x14ac:dyDescent="0.35">
      <c r="A28" t="s">
        <v>72</v>
      </c>
      <c r="B28" t="s">
        <v>16</v>
      </c>
      <c r="C28" t="s">
        <v>71</v>
      </c>
      <c r="D28" s="1">
        <v>44105</v>
      </c>
      <c r="E28" s="1">
        <v>44447</v>
      </c>
      <c r="F28">
        <v>11.4</v>
      </c>
      <c r="G28" t="s">
        <v>18</v>
      </c>
      <c r="H28">
        <v>40000</v>
      </c>
      <c r="I28">
        <v>39648.29</v>
      </c>
      <c r="J28">
        <v>45000</v>
      </c>
      <c r="K28">
        <v>48944.525000000001</v>
      </c>
      <c r="L28">
        <v>85000</v>
      </c>
      <c r="M28">
        <v>88592.815000000002</v>
      </c>
      <c r="N28">
        <v>-3592.8150000000001</v>
      </c>
      <c r="O28" s="2" t="s">
        <v>19</v>
      </c>
    </row>
    <row r="29" spans="1:15" x14ac:dyDescent="0.35">
      <c r="A29" t="s">
        <v>73</v>
      </c>
      <c r="B29" t="s">
        <v>23</v>
      </c>
      <c r="C29" t="s">
        <v>74</v>
      </c>
      <c r="D29" s="1">
        <v>42755</v>
      </c>
      <c r="E29" s="1">
        <v>43013</v>
      </c>
      <c r="F29">
        <v>8.6</v>
      </c>
      <c r="G29" t="s">
        <v>18</v>
      </c>
      <c r="H29">
        <v>10000</v>
      </c>
      <c r="I29">
        <v>11551.64</v>
      </c>
      <c r="J29">
        <v>50000</v>
      </c>
      <c r="K29">
        <v>51785.55</v>
      </c>
      <c r="L29">
        <v>60000</v>
      </c>
      <c r="M29">
        <v>63337.19</v>
      </c>
      <c r="N29">
        <v>-3337.19</v>
      </c>
      <c r="O29" s="2" t="s">
        <v>19</v>
      </c>
    </row>
    <row r="30" spans="1:15" x14ac:dyDescent="0.35">
      <c r="N30">
        <f>SUM(N2:N29)</f>
        <v>-12470.744999999999</v>
      </c>
    </row>
  </sheetData>
  <sortState xmlns:xlrd2="http://schemas.microsoft.com/office/spreadsheetml/2017/richdata2" ref="A2:O29">
    <sortCondition ref="A1"/>
    <sortCondition ref="B1"/>
    <sortCondition ref="C1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odule1.Msg3">
                <anchor moveWithCells="1">
                  <from>
                    <xdr:col>15</xdr:col>
                    <xdr:colOff>584200</xdr:colOff>
                    <xdr:row>7</xdr:row>
                    <xdr:rowOff>133350</xdr:rowOff>
                  </from>
                  <to>
                    <xdr:col>18</xdr:col>
                    <xdr:colOff>400050</xdr:colOff>
                    <xdr:row>11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odule1.Msg5">
                <anchor moveWithCells="1">
                  <from>
                    <xdr:col>16</xdr:col>
                    <xdr:colOff>0</xdr:colOff>
                    <xdr:row>2</xdr:row>
                    <xdr:rowOff>171450</xdr:rowOff>
                  </from>
                  <to>
                    <xdr:col>18</xdr:col>
                    <xdr:colOff>444500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cleaned_data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Leslie</dc:creator>
  <cp:lastModifiedBy>Leslie</cp:lastModifiedBy>
  <dcterms:created xsi:type="dcterms:W3CDTF">2021-11-17T21:50:27Z</dcterms:created>
  <dcterms:modified xsi:type="dcterms:W3CDTF">2021-11-21T06:13:12Z</dcterms:modified>
</cp:coreProperties>
</file>